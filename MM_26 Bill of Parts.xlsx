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mes\Documents\Github\Micromouse-2026\"/>
    </mc:Choice>
  </mc:AlternateContent>
  <xr:revisionPtr revIDLastSave="0" documentId="13_ncr:1_{7C97AF22-4433-4F34-8F8B-7BD43C3B7F6D}" xr6:coauthVersionLast="47" xr6:coauthVersionMax="47" xr10:uidLastSave="{00000000-0000-0000-0000-000000000000}"/>
  <bookViews>
    <workbookView xWindow="-110" yWindow="-110" windowWidth="19420" windowHeight="11500" xr2:uid="{C0469B51-F70B-4F72-8A5A-A226DBC310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1" l="1"/>
  <c r="F8" i="1"/>
  <c r="F9" i="1"/>
  <c r="F10" i="1"/>
  <c r="F11" i="1"/>
  <c r="H8" i="1"/>
  <c r="H7" i="1"/>
  <c r="H6" i="1"/>
  <c r="F6" i="1"/>
  <c r="F4" i="1"/>
  <c r="H4" i="1"/>
  <c r="F3" i="1"/>
  <c r="H3" i="1"/>
  <c r="H2" i="1"/>
  <c r="F2" i="1"/>
</calcChain>
</file>

<file path=xl/sharedStrings.xml><?xml version="1.0" encoding="utf-8"?>
<sst xmlns="http://schemas.openxmlformats.org/spreadsheetml/2006/main" count="47" uniqueCount="47">
  <si>
    <t>Part</t>
  </si>
  <si>
    <t>Quantity</t>
  </si>
  <si>
    <t>Quantity Extra</t>
  </si>
  <si>
    <t>Unit Price</t>
  </si>
  <si>
    <t>Part Number</t>
  </si>
  <si>
    <t>Link</t>
  </si>
  <si>
    <t>Description</t>
  </si>
  <si>
    <t>Total Price</t>
  </si>
  <si>
    <t>URL</t>
  </si>
  <si>
    <t>Motor</t>
  </si>
  <si>
    <t>Small brushed motor</t>
  </si>
  <si>
    <t>https://www.pololu.com/product/2378</t>
  </si>
  <si>
    <t>Encoder pair for motors ; connect at back</t>
  </si>
  <si>
    <t>https://www.pololu.com/product/4760</t>
  </si>
  <si>
    <t>Motor Encoder Pair</t>
  </si>
  <si>
    <t>Wheels</t>
  </si>
  <si>
    <t>attach to motor bracket</t>
  </si>
  <si>
    <t>https://www.pololu.com/product/1090</t>
  </si>
  <si>
    <t>IR Sensor Module</t>
  </si>
  <si>
    <t>Dual H-Bridge</t>
  </si>
  <si>
    <t>497-1390-5-ND</t>
  </si>
  <si>
    <t>IC dual-H bridge</t>
  </si>
  <si>
    <t>https://www.digikey.com/en/products/detail/stmicroelectronics/L293DD/585913</t>
  </si>
  <si>
    <t>IMU</t>
  </si>
  <si>
    <t>STM32 Nucleo Board</t>
  </si>
  <si>
    <t>Caster Wheel</t>
  </si>
  <si>
    <t>OLED Screen</t>
  </si>
  <si>
    <t>https://www.adafruit.com/product/4502</t>
  </si>
  <si>
    <t>https://www.adafruit.com/product/661</t>
  </si>
  <si>
    <t>Voltage Regulator</t>
  </si>
  <si>
    <t>https://www.digikey.com/en/products/detail/diodes-incorporated/AZ1117IH-3-3TRG1/5699672</t>
  </si>
  <si>
    <t>AZ1117IH-3.3TRG1DICT-ND</t>
  </si>
  <si>
    <t>3V3 LDO Regulator</t>
  </si>
  <si>
    <t>https://www.st.com/en/evaluation-tools/nucleo-l476rg.html#st_all-features_sec-nav-tab</t>
  </si>
  <si>
    <t>STM32 Nucleo L476RG</t>
  </si>
  <si>
    <t>https://www.adafruit.com/product/3948</t>
  </si>
  <si>
    <t>Display</t>
  </si>
  <si>
    <t>Free spinning wheel</t>
  </si>
  <si>
    <t>Gryo + Accel</t>
  </si>
  <si>
    <t>Battery Connector</t>
  </si>
  <si>
    <t>2mm JST Connector</t>
  </si>
  <si>
    <t>https://www.digikey.com/en/products/detail/jst-sales-america-inc/B2B-PH-K-S-LF-SN/926611</t>
  </si>
  <si>
    <t>455-1704-ND</t>
  </si>
  <si>
    <t>Slide Switch</t>
  </si>
  <si>
    <t>563-1314-1-ND</t>
  </si>
  <si>
    <t>https://www.digikey.com/en/products/detail/nidec-components-corporation/CL-SB-12A-01T/3507814</t>
  </si>
  <si>
    <t>Switch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</si>
</sst>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164" fontId="0" fillId="0" borderId="0" xfId="0" applyNumberFormat="1"/>
    <xf numFmtId="0" fontId="2" fillId="0" borderId="0" xfId="2"/>
    <xf numFmtId="0" fontId="0" fillId="0" borderId="0" xfId="1" applyNumberFormat="1" applyFont="1" applyAlignment="1">
      <alignment horizontal="fill"/>
    </xf>
    <xf numFmtId="0" fontId="0" fillId="2" borderId="0" xfId="0" applyFill="1"/>
    <xf numFmtId="164" fontId="0" fillId="2" borderId="0" xfId="0" applyNumberFormat="1" applyFill="1"/>
    <xf numFmtId="0" fontId="2" fillId="0" borderId="0" xfId="1" applyNumberFormat="1" applyFont="1" applyAlignment="1">
      <alignment horizontal="fill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digikey.com/en/products/detail/stmicroelectronics/L293DD/585913" TargetMode="External"/><Relationship Id="rId1" Type="http://schemas.openxmlformats.org/officeDocument/2006/relationships/hyperlink" Target="https://www.pololu.com/product/476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5EDAF-01BC-43D0-BDFE-27332DC556ED}">
  <dimension ref="A1:I13"/>
  <sheetViews>
    <sheetView tabSelected="1" workbookViewId="0">
      <pane ySplit="1" topLeftCell="A2" activePane="bottomLeft" state="frozen"/>
      <selection pane="bottomLeft" activeCell="G19" sqref="G19"/>
    </sheetView>
  </sheetViews>
  <sheetFormatPr defaultRowHeight="14.5" x14ac:dyDescent="0.35"/>
  <cols>
    <col min="1" max="1" width="17.54296875" bestFit="1" customWidth="1"/>
    <col min="2" max="2" width="7.7265625" bestFit="1" customWidth="1"/>
    <col min="3" max="3" width="12.1796875" bestFit="1" customWidth="1"/>
    <col min="5" max="5" width="11" bestFit="1" customWidth="1"/>
    <col min="6" max="6" width="16.54296875" customWidth="1"/>
    <col min="7" max="7" width="17.54296875" bestFit="1" customWidth="1"/>
    <col min="8" max="8" width="9.36328125" bestFit="1" customWidth="1"/>
  </cols>
  <sheetData>
    <row r="1" spans="1:9" x14ac:dyDescent="0.35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x14ac:dyDescent="0.35">
      <c r="A2" t="s">
        <v>9</v>
      </c>
      <c r="B2">
        <v>2</v>
      </c>
      <c r="D2" s="1">
        <v>20.95</v>
      </c>
      <c r="E2">
        <v>2378</v>
      </c>
      <c r="F2" s="2" t="str">
        <f>HYPERLINK(I2)</f>
        <v>https://www.pololu.com/product/2378</v>
      </c>
      <c r="G2" t="s">
        <v>10</v>
      </c>
      <c r="H2" s="1">
        <f>(B2+C2)*D2</f>
        <v>41.9</v>
      </c>
      <c r="I2" s="3" t="s">
        <v>11</v>
      </c>
    </row>
    <row r="3" spans="1:9" x14ac:dyDescent="0.35">
      <c r="A3" t="s">
        <v>14</v>
      </c>
      <c r="B3">
        <v>1</v>
      </c>
      <c r="D3" s="1">
        <v>7.95</v>
      </c>
      <c r="E3">
        <v>4760</v>
      </c>
      <c r="F3" s="2" t="str">
        <f>HYPERLINK(I3)</f>
        <v>https://www.pololu.com/product/4760</v>
      </c>
      <c r="G3" t="s">
        <v>12</v>
      </c>
      <c r="H3" s="1">
        <f t="shared" ref="H3:H4" si="0">(B3+C3)*D3</f>
        <v>7.95</v>
      </c>
      <c r="I3" s="6" t="s">
        <v>13</v>
      </c>
    </row>
    <row r="4" spans="1:9" x14ac:dyDescent="0.35">
      <c r="A4" t="s">
        <v>15</v>
      </c>
      <c r="B4">
        <v>1</v>
      </c>
      <c r="D4" s="1">
        <v>8.9499999999999993</v>
      </c>
      <c r="E4">
        <v>1090</v>
      </c>
      <c r="F4" s="2" t="str">
        <f>HYPERLINK(I4)</f>
        <v>https://www.pololu.com/product/1090</v>
      </c>
      <c r="G4" t="s">
        <v>16</v>
      </c>
      <c r="H4" s="1">
        <f t="shared" si="0"/>
        <v>8.9499999999999993</v>
      </c>
      <c r="I4" s="3" t="s">
        <v>17</v>
      </c>
    </row>
    <row r="5" spans="1:9" x14ac:dyDescent="0.35">
      <c r="A5" t="s">
        <v>18</v>
      </c>
      <c r="B5">
        <v>5</v>
      </c>
      <c r="D5" s="1"/>
    </row>
    <row r="6" spans="1:9" x14ac:dyDescent="0.35">
      <c r="A6" t="s">
        <v>19</v>
      </c>
      <c r="B6">
        <v>1</v>
      </c>
      <c r="D6" s="1">
        <v>7.69</v>
      </c>
      <c r="E6" t="s">
        <v>20</v>
      </c>
      <c r="F6" s="2" t="str">
        <f t="shared" ref="F6:F11" si="1">HYPERLINK(I6)</f>
        <v>https://www.digikey.com/en/products/detail/stmicroelectronics/L293DD/585913</v>
      </c>
      <c r="G6" t="s">
        <v>21</v>
      </c>
      <c r="H6" s="1">
        <f t="shared" ref="H6:H8" si="2">(B6+C6)*D6</f>
        <v>7.69</v>
      </c>
      <c r="I6" s="6" t="s">
        <v>22</v>
      </c>
    </row>
    <row r="7" spans="1:9" x14ac:dyDescent="0.35">
      <c r="A7" t="s">
        <v>23</v>
      </c>
      <c r="B7">
        <v>1</v>
      </c>
      <c r="D7" s="1">
        <v>19.95</v>
      </c>
      <c r="E7">
        <v>4502</v>
      </c>
      <c r="F7" s="2" t="str">
        <f t="shared" si="1"/>
        <v>https://www.adafruit.com/product/4502</v>
      </c>
      <c r="G7" t="s">
        <v>38</v>
      </c>
      <c r="H7" s="1">
        <f t="shared" si="2"/>
        <v>19.95</v>
      </c>
      <c r="I7" t="s">
        <v>27</v>
      </c>
    </row>
    <row r="8" spans="1:9" x14ac:dyDescent="0.35">
      <c r="A8" t="s">
        <v>34</v>
      </c>
      <c r="B8">
        <v>1</v>
      </c>
      <c r="D8" s="1">
        <v>14.53</v>
      </c>
      <c r="F8" s="2" t="str">
        <f t="shared" si="1"/>
        <v>https://www.st.com/en/evaluation-tools/nucleo-l476rg.html#st_all-features_sec-nav-tab</v>
      </c>
      <c r="G8" t="s">
        <v>24</v>
      </c>
      <c r="H8" s="1">
        <f t="shared" si="2"/>
        <v>14.53</v>
      </c>
      <c r="I8" t="s">
        <v>33</v>
      </c>
    </row>
    <row r="9" spans="1:9" x14ac:dyDescent="0.35">
      <c r="A9" t="s">
        <v>25</v>
      </c>
      <c r="D9" s="1">
        <v>1.95</v>
      </c>
      <c r="E9">
        <v>3948</v>
      </c>
      <c r="F9" s="2" t="str">
        <f t="shared" si="1"/>
        <v>https://www.adafruit.com/product/3948</v>
      </c>
      <c r="G9" t="s">
        <v>37</v>
      </c>
      <c r="I9" t="s">
        <v>35</v>
      </c>
    </row>
    <row r="10" spans="1:9" x14ac:dyDescent="0.35">
      <c r="A10" t="s">
        <v>26</v>
      </c>
      <c r="B10">
        <v>1</v>
      </c>
      <c r="D10" s="1">
        <v>17.5</v>
      </c>
      <c r="E10">
        <v>661</v>
      </c>
      <c r="F10" s="2" t="str">
        <f t="shared" si="1"/>
        <v>https://www.adafruit.com/product/661</v>
      </c>
      <c r="G10" t="s">
        <v>36</v>
      </c>
      <c r="I10" t="s">
        <v>28</v>
      </c>
    </row>
    <row r="11" spans="1:9" x14ac:dyDescent="0.35">
      <c r="A11" t="s">
        <v>29</v>
      </c>
      <c r="B11">
        <v>1</v>
      </c>
      <c r="D11" s="1">
        <v>0.24</v>
      </c>
      <c r="E11" t="s">
        <v>31</v>
      </c>
      <c r="F11" s="2" t="str">
        <f t="shared" si="1"/>
        <v>https://www.digikey.com/en/products/detail/diodes-incorporated/AZ1117IH-3-3TRG1/5699672</v>
      </c>
      <c r="G11" t="s">
        <v>32</v>
      </c>
      <c r="I11" t="s">
        <v>30</v>
      </c>
    </row>
    <row r="12" spans="1:9" x14ac:dyDescent="0.35">
      <c r="A12" t="s">
        <v>39</v>
      </c>
      <c r="B12">
        <v>2</v>
      </c>
      <c r="D12" s="1">
        <v>0.1</v>
      </c>
      <c r="E12" t="s">
        <v>42</v>
      </c>
      <c r="G12" t="s">
        <v>40</v>
      </c>
      <c r="I12" t="s">
        <v>41</v>
      </c>
    </row>
    <row r="13" spans="1:9" x14ac:dyDescent="0.35">
      <c r="A13" t="s">
        <v>43</v>
      </c>
      <c r="B13">
        <v>1</v>
      </c>
      <c r="D13" s="1">
        <v>1.1000000000000001</v>
      </c>
      <c r="E13" t="s">
        <v>44</v>
      </c>
      <c r="G13" t="s">
        <v>46</v>
      </c>
      <c r="I13" t="s">
        <v>45</v>
      </c>
    </row>
  </sheetData>
  <hyperlinks>
    <hyperlink ref="I3" r:id="rId1" xr:uid="{87E20980-8068-41A3-A2DD-B64AA5CD53A2}"/>
    <hyperlink ref="I6" r:id="rId2" xr:uid="{7F8DDEFE-77E5-427E-893F-2E1CCB9012D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Soley</dc:creator>
  <cp:lastModifiedBy>James Soley</cp:lastModifiedBy>
  <dcterms:created xsi:type="dcterms:W3CDTF">2026-01-29T22:31:29Z</dcterms:created>
  <dcterms:modified xsi:type="dcterms:W3CDTF">2026-02-01T17:55:51Z</dcterms:modified>
</cp:coreProperties>
</file>
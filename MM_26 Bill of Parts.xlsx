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9AF54DA1-315E-46AB-93DE-D8419E59A623}" xr6:coauthVersionLast="47" xr6:coauthVersionMax="47" xr10:uidLastSave="{00000000-0000-0000-0000-000000000000}"/>
  <bookViews>
    <workbookView xWindow="-110" yWindow="-110" windowWidth="19420" windowHeight="11500" xr2:uid="{C0469B51-F70B-4F72-8A5A-A226DBC310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9" i="1"/>
  <c r="F10" i="1"/>
  <c r="F11" i="1"/>
  <c r="H8" i="1"/>
  <c r="H7" i="1"/>
  <c r="H6" i="1"/>
  <c r="F6" i="1"/>
  <c r="F4" i="1"/>
  <c r="H4" i="1"/>
  <c r="F3" i="1"/>
  <c r="H3" i="1"/>
  <c r="H2" i="1"/>
  <c r="F2" i="1"/>
</calcChain>
</file>

<file path=xl/sharedStrings.xml><?xml version="1.0" encoding="utf-8"?>
<sst xmlns="http://schemas.openxmlformats.org/spreadsheetml/2006/main" count="39" uniqueCount="39">
  <si>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</si>
  <si>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</si>
  <si>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</si>
  <si>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</si>
  <si>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</si>
  <si>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</si>
  <si>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</si>
  <si>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</si>
  <si>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</si>
  <si>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</si>
  <si>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</si>
  <si>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</si>
  <si>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</si>
  <si>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</si>
  <si>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</si>
  <si>
    <t>Wheels</t>
  </si>
  <si>
    <t>attach to motor bracket</t>
  </si>
  <si>
    <t>https://www.pololu.com/product/1090</t>
  </si>
  <si>
    <t>IR Sensor Module</t>
  </si>
  <si>
    <t>Dual H-Bridge</t>
  </si>
  <si>
    <t>497-1390-5-ND</t>
  </si>
  <si>
    <t>IC dual-H bridge</t>
  </si>
  <si>
    <t>https://www.digikey.com/en/products/detail/stmicroelectronics/L293DD/585913</t>
  </si>
  <si>
    <t>IMU</t>
  </si>
  <si>
    <t>STM32 Nucleo Board</t>
  </si>
  <si>
    <t>Caster Wheel</t>
  </si>
  <si>
    <t>OLED Screen</t>
  </si>
  <si>
    <t>https://www.adafruit.com/product/4502</t>
  </si>
  <si>
    <t>https://www.adafruit.com/product/661</t>
  </si>
  <si>
    <t>Voltage Regulator</t>
  </si>
  <si>
    <t>https://www.digikey.com/en/products/detail/diodes-incorporated/AZ1117IH-3-3TRG1/5699672</t>
  </si>
  <si>
    <t>AZ1117IH-3.3TRG1DICT-ND</t>
  </si>
  <si>
    <t>3V3 LDO Regulator</t>
  </si>
  <si>
    <t>https://www.st.com/en/evaluation-tools/nucleo-l476rg.html#st_all-features_sec-nav-tab</t>
  </si>
  <si>
    <t>STM32 Nucleo L476RG</t>
  </si>
  <si>
    <t>https://www.adafruit.com/product/3948</t>
  </si>
  <si>
    <t>Display</t>
  </si>
  <si>
    <t>Free spinning wheel</t>
  </si>
  <si>
    <t>Gryo + Accel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</si>
</sst>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tmicroelectronics/L293DD/585913" TargetMode="External"/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11"/>
  <sheetViews>
    <sheetView tabSelected="1" workbookViewId="0">
      <pane ySplit="1" topLeftCell="A2" activePane="bottomLeft" state="frozen"/>
      <selection pane="bottomLeft" activeCell="F9" sqref="F9"/>
    </sheetView>
  </sheetViews>
  <sheetFormatPr defaultRowHeight="14.5" x14ac:dyDescent="0.35"/>
  <cols>
    <col min="1" max="1" width="17.542968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:H4" si="0">(B3+C3)*D3</f>
        <v>7.95</v>
      </c>
      <c r="I3" s="6" t="s">
        <v>13</v>
      </c>
    </row>
    <row r="4" spans="1:9" x14ac:dyDescent="0.35">
      <c r="A4" t="s">
        <v>15</v>
      </c>
      <c r="B4">
        <v>1</v>
      </c>
      <c r="D4" s="1">
        <v>8.9499999999999993</v>
      </c>
      <c r="E4">
        <v>1090</v>
      </c>
      <c r="F4" s="2" t="str">
        <f>HYPERLINK(I4)</f>
        <v>https://www.pololu.com/product/1090</v>
      </c>
      <c r="G4" t="s">
        <v>16</v>
      </c>
      <c r="H4" s="1">
        <f t="shared" si="0"/>
        <v>8.9499999999999993</v>
      </c>
      <c r="I4" s="3" t="s">
        <v>17</v>
      </c>
    </row>
    <row r="5" spans="1:9" x14ac:dyDescent="0.35">
      <c r="A5" t="s">
        <v>18</v>
      </c>
      <c r="B5">
        <v>5</v>
      </c>
      <c r="D5" s="1"/>
    </row>
    <row r="6" spans="1:9" x14ac:dyDescent="0.35">
      <c r="A6" t="s">
        <v>19</v>
      </c>
      <c r="B6">
        <v>1</v>
      </c>
      <c r="D6" s="1">
        <v>7.69</v>
      </c>
      <c r="E6" t="s">
        <v>20</v>
      </c>
      <c r="F6" s="2" t="str">
        <f t="shared" ref="F6:F11" si="1">HYPERLINK(I6)</f>
        <v>https://www.digikey.com/en/products/detail/stmicroelectronics/L293DD/585913</v>
      </c>
      <c r="G6" t="s">
        <v>21</v>
      </c>
      <c r="H6" s="1">
        <f t="shared" ref="H6:H8" si="2">(B6+C6)*D6</f>
        <v>7.69</v>
      </c>
      <c r="I6" s="6" t="s">
        <v>22</v>
      </c>
    </row>
    <row r="7" spans="1:9" x14ac:dyDescent="0.35">
      <c r="A7" t="s">
        <v>23</v>
      </c>
      <c r="B7">
        <v>1</v>
      </c>
      <c r="D7" s="1">
        <v>19.95</v>
      </c>
      <c r="E7">
        <v>4502</v>
      </c>
      <c r="F7" s="2" t="str">
        <f t="shared" si="1"/>
        <v>https://www.adafruit.com/product/4502</v>
      </c>
      <c r="G7" t="s">
        <v>38</v>
      </c>
      <c r="H7" s="1">
        <f t="shared" si="2"/>
        <v>19.95</v>
      </c>
      <c r="I7" t="s">
        <v>27</v>
      </c>
    </row>
    <row r="8" spans="1:9" x14ac:dyDescent="0.35">
      <c r="A8" t="s">
        <v>34</v>
      </c>
      <c r="B8">
        <v>1</v>
      </c>
      <c r="D8" s="1">
        <v>14.53</v>
      </c>
      <c r="F8" s="2" t="str">
        <f t="shared" si="1"/>
        <v>https://www.st.com/en/evaluation-tools/nucleo-l476rg.html#st_all-features_sec-nav-tab</v>
      </c>
      <c r="G8" t="s">
        <v>24</v>
      </c>
      <c r="H8" s="1">
        <f t="shared" si="2"/>
        <v>14.53</v>
      </c>
      <c r="I8" t="s">
        <v>33</v>
      </c>
    </row>
    <row r="9" spans="1:9" x14ac:dyDescent="0.35">
      <c r="A9" t="s">
        <v>25</v>
      </c>
      <c r="D9" s="1">
        <v>1.95</v>
      </c>
      <c r="E9">
        <v>3948</v>
      </c>
      <c r="F9" s="2" t="str">
        <f t="shared" si="1"/>
        <v>https://www.adafruit.com/product/3948</v>
      </c>
      <c r="G9" t="s">
        <v>37</v>
      </c>
      <c r="I9" t="s">
        <v>35</v>
      </c>
    </row>
    <row r="10" spans="1:9" x14ac:dyDescent="0.35">
      <c r="A10" t="s">
        <v>26</v>
      </c>
      <c r="B10">
        <v>1</v>
      </c>
      <c r="D10" s="1">
        <v>17.5</v>
      </c>
      <c r="E10">
        <v>661</v>
      </c>
      <c r="F10" s="2" t="str">
        <f t="shared" si="1"/>
        <v>https://www.adafruit.com/product/661</v>
      </c>
      <c r="G10" t="s">
        <v>36</v>
      </c>
      <c r="I10" t="s">
        <v>28</v>
      </c>
    </row>
    <row r="11" spans="1:9" x14ac:dyDescent="0.35">
      <c r="A11" t="s">
        <v>29</v>
      </c>
      <c r="B11">
        <v>1</v>
      </c>
      <c r="D11" s="1">
        <v>0.24</v>
      </c>
      <c r="E11" t="s">
        <v>31</v>
      </c>
      <c r="F11" s="2" t="str">
        <f t="shared" si="1"/>
        <v>https://www.digikey.com/en/products/detail/diodes-incorporated/AZ1117IH-3-3TRG1/5699672</v>
      </c>
      <c r="G11" t="s">
        <v>32</v>
      </c>
      <c r="I11" t="s">
        <v>30</v>
      </c>
    </row>
  </sheetData>
  <hyperlinks>
    <hyperlink ref="I3" r:id="rId1" xr:uid="{87E20980-8068-41A3-A2DD-B64AA5CD53A2}"/>
    <hyperlink ref="I6" r:id="rId2" xr:uid="{7F8DDEFE-77E5-427E-893F-2E1CCB9012D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2026-01-30T16:15:47Z</dcterms:modified>
</cp:coreProperties>
</file>
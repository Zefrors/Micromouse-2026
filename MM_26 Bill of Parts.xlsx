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Micromouse-2026\"/>
    </mc:Choice>
  </mc:AlternateContent>
  <xr:revisionPtr revIDLastSave="0" documentId="13_ncr:1_{34A7F675-2F06-44A7-9AF4-E689DB5E8125}" xr6:coauthVersionLast="47" xr6:coauthVersionMax="47" xr10:uidLastSave="{00000000-0000-0000-0000-000000000000}"/>
  <bookViews>
    <workbookView xWindow="-110" yWindow="-110" windowWidth="19420" windowHeight="11500" xr2:uid="{C0469B51-F70B-4F72-8A5A-A226DBC310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3" i="1"/>
  <c r="F14" i="1"/>
  <c r="F5" i="1"/>
  <c r="H5" i="1"/>
  <c r="F7" i="1" l="1"/>
  <c r="F8" i="1"/>
  <c r="F10" i="1"/>
  <c r="F11" i="1"/>
  <c r="H8" i="1"/>
  <c r="H7" i="1"/>
  <c r="H6" i="1"/>
  <c r="F6" i="1"/>
  <c r="F4" i="1"/>
  <c r="H4" i="1"/>
  <c r="F3" i="1"/>
  <c r="H3" i="1"/>
  <c r="H2" i="1"/>
  <c r="F2" i="1"/>
</calcChain>
</file>

<file path=xl/sharedStrings.xml><?xml version="1.0" encoding="utf-8"?>
<sst xmlns="http://schemas.openxmlformats.org/spreadsheetml/2006/main" count="80" uniqueCount="80">
  <si>
    <t>Part</t>
  </si>
  <si>
    <t>Quantity</t>
  </si>
  <si>
    <t>Quantity Extra</t>
  </si>
  <si>
    <t>Unit Price</t>
  </si>
  <si>
    <t>Part Number</t>
  </si>
  <si>
    <t>Link</t>
  </si>
  <si>
    <t>Description</t>
  </si>
  <si>
    <t>Total Price</t>
  </si>
  <si>
    <t>URL</t>
  </si>
  <si>
    <t>Motor</t>
  </si>
  <si>
    <t>Small brushed motor</t>
  </si>
  <si>
    <t>https://www.pololu.com/product/2378</t>
  </si>
  <si>
    <t>Encoder pair for motors ; connect at back</t>
  </si>
  <si>
    <t>https://www.pololu.com/product/4760</t>
  </si>
  <si>
    <t>Motor Encoder Pair</t>
  </si>
  <si>
    <t>Wheels</t>
  </si>
  <si>
    <t>attach to motor bracket</t>
  </si>
  <si>
    <t>https://www.pololu.com/product/1090</t>
  </si>
  <si>
    <t>IR Sensor Module</t>
  </si>
  <si>
    <t>Dual H-Bridge</t>
  </si>
  <si>
    <t>497-1390-5-ND</t>
  </si>
  <si>
    <t>IC dual-H bridge</t>
  </si>
  <si>
    <t>https://www.digikey.com/en/products/detail/stmicroelectronics/L293DD/585913</t>
  </si>
  <si>
    <t>IMU</t>
  </si>
  <si>
    <t>STM32 Nucleo Board</t>
  </si>
  <si>
    <t>Caster Wheel</t>
  </si>
  <si>
    <t>OLED Screen</t>
  </si>
  <si>
    <t>https://www.adafruit.com/product/4502</t>
  </si>
  <si>
    <t>https://www.adafruit.com/product/661</t>
  </si>
  <si>
    <t>Voltage Regulator</t>
  </si>
  <si>
    <t>https://www.digikey.com/en/products/detail/diodes-incorporated/AZ1117IH-3-3TRG1/5699672</t>
  </si>
  <si>
    <t>AZ1117IH-3.3TRG1DICT-ND</t>
  </si>
  <si>
    <t>3V3 LDO Regulator</t>
  </si>
  <si>
    <t>https://www.st.com/en/evaluation-tools/nucleo-l476rg.html#st_all-features_sec-nav-tab</t>
  </si>
  <si>
    <t>STM32 Nucleo L476RG</t>
  </si>
  <si>
    <t>Display</t>
  </si>
  <si>
    <t>Gryo + Accel</t>
  </si>
  <si>
    <t>Battery Connector</t>
  </si>
  <si>
    <t>2mm JST Connector</t>
  </si>
  <si>
    <t>https://www.digikey.com/en/products/detail/jst-sales-america-inc/B2B-PH-K-S-LF-SN/926611</t>
  </si>
  <si>
    <t>455-1704-ND</t>
  </si>
  <si>
    <t>Slide Switch</t>
  </si>
  <si>
    <t>Switch</t>
  </si>
  <si>
    <t>JST SH Connector</t>
  </si>
  <si>
    <t>Motor to Board</t>
  </si>
  <si>
    <t>www.digikey.com/en/products/detail/jst-sales-america-inc/BM06B-SRSS-TB/926698</t>
  </si>
  <si>
    <t>455-BM06B-SRSS-TBCT-ND</t>
  </si>
  <si>
    <t>Motor Cable</t>
  </si>
  <si>
    <t>https://www.pololu.com/category/277/6-pin-jst-sh-style-cables-for-micro-metal-gearmotor-encoders</t>
  </si>
  <si>
    <t>Decide Length</t>
  </si>
  <si>
    <t>https://www.pololu.com/category/45/pololu-ball-casters</t>
  </si>
  <si>
    <t>Decide based on height</t>
  </si>
  <si>
    <t>https://amazon.com/dp/B07W97H2WS</t>
  </si>
  <si>
    <t>Right Angle Pin Header</t>
  </si>
  <si>
    <t>For IR Sensor Module</t>
  </si>
  <si>
    <t>https://www.pololu.com/product/2703</t>
  </si>
  <si>
    <t>Motor Bracket</t>
  </si>
  <si>
    <t>https://www.pololu.com/category/161/brackets-for-micro-metal-gearmotors</t>
  </si>
  <si>
    <t>Resistor</t>
  </si>
  <si>
    <t>https://www.digikey.com/en/products/detail/yageo/RC0805JR-0710KL/728241</t>
  </si>
  <si>
    <t>100nF</t>
  </si>
  <si>
    <t>4.7uF</t>
  </si>
  <si>
    <t>10uF</t>
  </si>
  <si>
    <t>22uF</t>
  </si>
  <si>
    <t>https://www.digikey.com/en/products/detail/kemet/C0805C104K5RACTU/411169</t>
  </si>
  <si>
    <t>399-C0805C104K5RACTUCT-ND</t>
  </si>
  <si>
    <t>1276-1244-1-ND</t>
  </si>
  <si>
    <t>https://www.digikey.com/en/products/detail/samsung-electro-mechanics/CL21A475KAQNNNE/3886902</t>
  </si>
  <si>
    <t>https://www.digikey.com/en/products/detail/samsung-electro-mechanics/CL21B106KOQNNNE/3888530</t>
  </si>
  <si>
    <t>1276-2872-1-ND</t>
  </si>
  <si>
    <t>1276-CL21A226MAYNNNECT-ND</t>
  </si>
  <si>
    <t>https://www.digikey.com/en/products/detail/samsung-electro-mechanics/CL21A226MAYNNNE/10479857</t>
  </si>
  <si>
    <t>IDC Cable Header</t>
  </si>
  <si>
    <t>https://www.digikey.com/en/products/detail/cnc-tech/3220-20-0100-00/3883663</t>
  </si>
  <si>
    <t>https://www.digikey.com/en/products/detail/samtec-inc/FFSD-10-D-02-00-01-N/1106582</t>
  </si>
  <si>
    <t>Cable Long</t>
  </si>
  <si>
    <t>Cable Short</t>
  </si>
  <si>
    <t>https://www.digikey.com/en/products/detail/samtec-inc/FFSD-10-D-03-00-01-N/2651117</t>
  </si>
  <si>
    <t>https://www.digikey.com/en/products/detail/e-switch/EG1213/101735</t>
  </si>
  <si>
    <t>EG1906-ND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</si>
</sst>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2" fillId="0" borderId="0" xfId="2"/>
    <xf numFmtId="0" fontId="0" fillId="0" borderId="0" xfId="1" applyNumberFormat="1" applyFont="1" applyAlignment="1">
      <alignment horizontal="fill"/>
    </xf>
    <xf numFmtId="0" fontId="0" fillId="2" borderId="0" xfId="0" applyFill="1"/>
    <xf numFmtId="164" fontId="0" fillId="2" borderId="0" xfId="0" applyNumberFormat="1" applyFill="1"/>
    <xf numFmtId="0" fontId="2" fillId="0" borderId="0" xfId="1" applyNumberFormat="1" applyFont="1" applyAlignment="1">
      <alignment horizontal="fill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stmicroelectronics/L293DD/585913" TargetMode="External"/><Relationship Id="rId1" Type="http://schemas.openxmlformats.org/officeDocument/2006/relationships/hyperlink" Target="https://www.pololu.com/product/47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EDAF-01BC-43D0-BDFE-27332DC556ED}">
  <dimension ref="A1:I25"/>
  <sheetViews>
    <sheetView tabSelected="1" workbookViewId="0">
      <pane ySplit="1" topLeftCell="A2" activePane="bottomLeft" state="frozen"/>
      <selection pane="bottomLeft" activeCell="L2" sqref="L2"/>
    </sheetView>
  </sheetViews>
  <sheetFormatPr defaultRowHeight="14.5" x14ac:dyDescent="0.35"/>
  <cols>
    <col min="1" max="1" width="19.08984375" bestFit="1" customWidth="1"/>
    <col min="2" max="2" width="7.7265625" bestFit="1" customWidth="1"/>
    <col min="3" max="3" width="12.1796875" bestFit="1" customWidth="1"/>
    <col min="5" max="5" width="11" bestFit="1" customWidth="1"/>
    <col min="6" max="6" width="16.54296875" customWidth="1"/>
    <col min="7" max="7" width="17.54296875" bestFit="1" customWidth="1"/>
    <col min="8" max="8" width="9.36328125" bestFit="1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t="s">
        <v>9</v>
      </c>
      <c r="B2">
        <v>2</v>
      </c>
      <c r="D2" s="1">
        <v>20.95</v>
      </c>
      <c r="E2">
        <v>2378</v>
      </c>
      <c r="F2" s="2" t="str">
        <f>HYPERLINK(I2)</f>
        <v>https://www.pololu.com/product/2378</v>
      </c>
      <c r="G2" t="s">
        <v>10</v>
      </c>
      <c r="H2" s="1">
        <f>(B2+C2)*D2</f>
        <v>41.9</v>
      </c>
      <c r="I2" s="3" t="s">
        <v>11</v>
      </c>
    </row>
    <row r="3" spans="1:9" x14ac:dyDescent="0.35">
      <c r="A3" t="s">
        <v>14</v>
      </c>
      <c r="B3">
        <v>1</v>
      </c>
      <c r="D3" s="1">
        <v>7.95</v>
      </c>
      <c r="E3">
        <v>4760</v>
      </c>
      <c r="F3" s="2" t="str">
        <f>HYPERLINK(I3)</f>
        <v>https://www.pololu.com/product/4760</v>
      </c>
      <c r="G3" t="s">
        <v>12</v>
      </c>
      <c r="H3" s="1">
        <f t="shared" ref="H3:H5" si="0">(B3+C3)*D3</f>
        <v>7.95</v>
      </c>
      <c r="I3" s="6" t="s">
        <v>13</v>
      </c>
    </row>
    <row r="4" spans="1:9" x14ac:dyDescent="0.35">
      <c r="A4" t="s">
        <v>15</v>
      </c>
      <c r="B4">
        <v>1</v>
      </c>
      <c r="D4" s="1">
        <v>8.9499999999999993</v>
      </c>
      <c r="E4">
        <v>1090</v>
      </c>
      <c r="F4" s="2" t="str">
        <f>HYPERLINK(I4)</f>
        <v>https://www.pololu.com/product/1090</v>
      </c>
      <c r="G4" t="s">
        <v>16</v>
      </c>
      <c r="H4" s="1">
        <f t="shared" si="0"/>
        <v>8.9499999999999993</v>
      </c>
      <c r="I4" s="3" t="s">
        <v>17</v>
      </c>
    </row>
    <row r="5" spans="1:9" x14ac:dyDescent="0.35">
      <c r="A5" t="s">
        <v>18</v>
      </c>
      <c r="B5">
        <v>5</v>
      </c>
      <c r="C5">
        <v>5</v>
      </c>
      <c r="D5" s="1">
        <v>0.879</v>
      </c>
      <c r="F5" s="2" t="str">
        <f>HYPERLINK(I5)</f>
        <v>https://amazon.com/dp/B07W97H2WS</v>
      </c>
      <c r="H5" s="1">
        <f t="shared" si="0"/>
        <v>8.7899999999999991</v>
      </c>
      <c r="I5" t="s">
        <v>52</v>
      </c>
    </row>
    <row r="6" spans="1:9" x14ac:dyDescent="0.35">
      <c r="A6" t="s">
        <v>19</v>
      </c>
      <c r="B6">
        <v>1</v>
      </c>
      <c r="D6" s="1">
        <v>7.69</v>
      </c>
      <c r="E6" t="s">
        <v>20</v>
      </c>
      <c r="F6" s="2" t="str">
        <f t="shared" ref="F6:F14" si="1">HYPERLINK(I6)</f>
        <v>https://www.digikey.com/en/products/detail/stmicroelectronics/L293DD/585913</v>
      </c>
      <c r="G6" t="s">
        <v>21</v>
      </c>
      <c r="H6" s="1">
        <f t="shared" ref="H6:H8" si="2">(B6+C6)*D6</f>
        <v>7.69</v>
      </c>
      <c r="I6" s="6" t="s">
        <v>22</v>
      </c>
    </row>
    <row r="7" spans="1:9" x14ac:dyDescent="0.35">
      <c r="A7" t="s">
        <v>23</v>
      </c>
      <c r="B7">
        <v>1</v>
      </c>
      <c r="D7" s="1">
        <v>19.95</v>
      </c>
      <c r="E7">
        <v>4502</v>
      </c>
      <c r="F7" s="2" t="str">
        <f t="shared" si="1"/>
        <v>https://www.adafruit.com/product/4502</v>
      </c>
      <c r="G7" t="s">
        <v>36</v>
      </c>
      <c r="H7" s="1">
        <f t="shared" si="2"/>
        <v>19.95</v>
      </c>
      <c r="I7" t="s">
        <v>27</v>
      </c>
    </row>
    <row r="8" spans="1:9" x14ac:dyDescent="0.35">
      <c r="A8" t="s">
        <v>34</v>
      </c>
      <c r="B8">
        <v>1</v>
      </c>
      <c r="D8" s="1">
        <v>14.53</v>
      </c>
      <c r="F8" s="2" t="str">
        <f t="shared" si="1"/>
        <v>https://www.st.com/en/evaluation-tools/nucleo-l476rg.html#st_all-features_sec-nav-tab</v>
      </c>
      <c r="G8" t="s">
        <v>24</v>
      </c>
      <c r="H8" s="1">
        <f t="shared" si="2"/>
        <v>14.53</v>
      </c>
      <c r="I8" t="s">
        <v>33</v>
      </c>
    </row>
    <row r="9" spans="1:9" x14ac:dyDescent="0.35">
      <c r="A9" t="s">
        <v>25</v>
      </c>
      <c r="C9" s="7" t="s">
        <v>51</v>
      </c>
      <c r="D9" s="7"/>
      <c r="E9" s="7"/>
      <c r="F9" s="7"/>
      <c r="G9" s="7"/>
      <c r="H9" s="7"/>
      <c r="I9" t="s">
        <v>50</v>
      </c>
    </row>
    <row r="10" spans="1:9" x14ac:dyDescent="0.35">
      <c r="A10" t="s">
        <v>26</v>
      </c>
      <c r="B10">
        <v>1</v>
      </c>
      <c r="D10" s="1">
        <v>17.5</v>
      </c>
      <c r="E10">
        <v>661</v>
      </c>
      <c r="F10" s="2" t="str">
        <f t="shared" si="1"/>
        <v>https://www.adafruit.com/product/661</v>
      </c>
      <c r="G10" t="s">
        <v>35</v>
      </c>
      <c r="I10" t="s">
        <v>28</v>
      </c>
    </row>
    <row r="11" spans="1:9" x14ac:dyDescent="0.35">
      <c r="A11" t="s">
        <v>29</v>
      </c>
      <c r="B11">
        <v>1</v>
      </c>
      <c r="D11" s="1">
        <v>0.24</v>
      </c>
      <c r="E11" t="s">
        <v>31</v>
      </c>
      <c r="F11" s="2" t="str">
        <f t="shared" si="1"/>
        <v>https://www.digikey.com/en/products/detail/diodes-incorporated/AZ1117IH-3-3TRG1/5699672</v>
      </c>
      <c r="G11" t="s">
        <v>32</v>
      </c>
      <c r="I11" t="s">
        <v>30</v>
      </c>
    </row>
    <row r="12" spans="1:9" x14ac:dyDescent="0.35">
      <c r="A12" t="s">
        <v>37</v>
      </c>
      <c r="B12">
        <v>2</v>
      </c>
      <c r="D12" s="1">
        <v>0.1</v>
      </c>
      <c r="E12" t="s">
        <v>40</v>
      </c>
      <c r="F12" s="2" t="str">
        <f t="shared" si="1"/>
        <v>https://www.digikey.com/en/products/detail/jst-sales-america-inc/B2B-PH-K-S-LF-SN/926611</v>
      </c>
      <c r="G12" t="s">
        <v>38</v>
      </c>
      <c r="I12" t="s">
        <v>39</v>
      </c>
    </row>
    <row r="13" spans="1:9" x14ac:dyDescent="0.35">
      <c r="A13" t="s">
        <v>41</v>
      </c>
      <c r="B13">
        <v>2</v>
      </c>
      <c r="C13">
        <v>1</v>
      </c>
      <c r="D13" s="1">
        <v>0.72</v>
      </c>
      <c r="E13" t="s">
        <v>79</v>
      </c>
      <c r="F13" s="2" t="str">
        <f t="shared" si="1"/>
        <v>https://www.digikey.com/en/products/detail/e-switch/EG1213/101735</v>
      </c>
      <c r="G13" t="s">
        <v>42</v>
      </c>
      <c r="I13" t="s">
        <v>78</v>
      </c>
    </row>
    <row r="14" spans="1:9" x14ac:dyDescent="0.35">
      <c r="A14" t="s">
        <v>43</v>
      </c>
      <c r="B14">
        <v>2</v>
      </c>
      <c r="D14" s="1">
        <v>0.67</v>
      </c>
      <c r="E14" t="s">
        <v>46</v>
      </c>
      <c r="F14" s="2" t="str">
        <f t="shared" si="1"/>
        <v>www.digikey.com/en/products/detail/jst-sales-america-inc/BM06B-SRSS-TB/926698</v>
      </c>
      <c r="G14" t="s">
        <v>44</v>
      </c>
      <c r="I14" t="s">
        <v>45</v>
      </c>
    </row>
    <row r="15" spans="1:9" x14ac:dyDescent="0.35">
      <c r="A15" t="s">
        <v>47</v>
      </c>
      <c r="B15" s="7" t="s">
        <v>49</v>
      </c>
      <c r="C15" s="7"/>
      <c r="D15" s="7"/>
      <c r="E15" s="7"/>
      <c r="F15" s="7"/>
      <c r="G15" s="7"/>
      <c r="H15" s="7"/>
      <c r="I15" t="s">
        <v>48</v>
      </c>
    </row>
    <row r="16" spans="1:9" x14ac:dyDescent="0.35">
      <c r="A16" t="s">
        <v>53</v>
      </c>
      <c r="B16">
        <v>5</v>
      </c>
      <c r="D16" s="1">
        <v>0.52</v>
      </c>
      <c r="E16">
        <v>2703</v>
      </c>
      <c r="G16" t="s">
        <v>54</v>
      </c>
      <c r="I16" t="s">
        <v>55</v>
      </c>
    </row>
    <row r="17" spans="1:6" x14ac:dyDescent="0.35">
      <c r="A17" t="s">
        <v>56</v>
      </c>
      <c r="B17">
        <v>1</v>
      </c>
      <c r="D17" s="1">
        <v>4.95</v>
      </c>
      <c r="E17">
        <v>1089</v>
      </c>
      <c r="F17" t="s">
        <v>57</v>
      </c>
    </row>
    <row r="18" spans="1:6" x14ac:dyDescent="0.35">
      <c r="A18" t="s">
        <v>58</v>
      </c>
      <c r="B18">
        <v>1</v>
      </c>
      <c r="C18">
        <v>9</v>
      </c>
      <c r="D18" s="1">
        <v>8.9999999999999993E-3</v>
      </c>
      <c r="F18" t="s">
        <v>59</v>
      </c>
    </row>
    <row r="19" spans="1:6" x14ac:dyDescent="0.35">
      <c r="A19" t="s">
        <v>60</v>
      </c>
      <c r="E19" t="s">
        <v>65</v>
      </c>
      <c r="F19" t="s">
        <v>64</v>
      </c>
    </row>
    <row r="20" spans="1:6" x14ac:dyDescent="0.35">
      <c r="A20" t="s">
        <v>61</v>
      </c>
      <c r="E20" t="s">
        <v>66</v>
      </c>
      <c r="F20" t="s">
        <v>67</v>
      </c>
    </row>
    <row r="21" spans="1:6" x14ac:dyDescent="0.35">
      <c r="A21" t="s">
        <v>62</v>
      </c>
      <c r="E21" t="s">
        <v>69</v>
      </c>
      <c r="F21" t="s">
        <v>68</v>
      </c>
    </row>
    <row r="22" spans="1:6" x14ac:dyDescent="0.35">
      <c r="A22" t="s">
        <v>63</v>
      </c>
      <c r="E22" t="s">
        <v>70</v>
      </c>
      <c r="F22" t="s">
        <v>71</v>
      </c>
    </row>
    <row r="23" spans="1:6" x14ac:dyDescent="0.35">
      <c r="A23" t="s">
        <v>72</v>
      </c>
      <c r="F23" t="s">
        <v>73</v>
      </c>
    </row>
    <row r="24" spans="1:6" x14ac:dyDescent="0.35">
      <c r="A24" t="s">
        <v>76</v>
      </c>
      <c r="F24" t="s">
        <v>74</v>
      </c>
    </row>
    <row r="25" spans="1:6" x14ac:dyDescent="0.35">
      <c r="A25" t="s">
        <v>75</v>
      </c>
      <c r="F25" t="s">
        <v>77</v>
      </c>
    </row>
  </sheetData>
  <mergeCells count="2">
    <mergeCell ref="B15:H15"/>
    <mergeCell ref="C9:H9"/>
  </mergeCells>
  <hyperlinks>
    <hyperlink ref="I3" r:id="rId1" xr:uid="{87E20980-8068-41A3-A2DD-B64AA5CD53A2}"/>
    <hyperlink ref="I6" r:id="rId2" xr:uid="{7F8DDEFE-77E5-427E-893F-2E1CCB9012D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Soley</dc:creator>
  <cp:lastModifiedBy>James Soley</cp:lastModifiedBy>
  <dcterms:created xsi:type="dcterms:W3CDTF">2026-01-29T22:31:29Z</dcterms:created>
  <dcterms:modified xsi:type="dcterms:W3CDTF">2026-02-14T22:31:23Z</dcterms:modified>
</cp:coreProperties>
</file>